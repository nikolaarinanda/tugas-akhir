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e007362993c079a/Tugas Akhir/"/>
    </mc:Choice>
  </mc:AlternateContent>
  <xr:revisionPtr revIDLastSave="465" documentId="11_F25DC773A252ABDACC10487FE99941885BDE58EC" xr6:coauthVersionLast="47" xr6:coauthVersionMax="47" xr10:uidLastSave="{8A0F0C79-5024-48B8-92EE-AADDCAD62D4A}"/>
  <bookViews>
    <workbookView minimized="1" xWindow="2772" yWindow="2532" windowWidth="17280" windowHeight="99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7" i="1" l="1"/>
  <c r="B6" i="1"/>
  <c r="D4" i="1"/>
  <c r="D5" i="1" s="1"/>
  <c r="D3" i="1"/>
  <c r="D2" i="1"/>
  <c r="I17" i="1" l="1"/>
  <c r="I19" i="1" s="1"/>
  <c r="K17" i="1" l="1"/>
  <c r="K19" i="1" s="1"/>
  <c r="O17" i="1"/>
  <c r="O19" i="1" s="1"/>
</calcChain>
</file>

<file path=xl/sharedStrings.xml><?xml version="1.0" encoding="utf-8"?>
<sst xmlns="http://schemas.openxmlformats.org/spreadsheetml/2006/main" count="103" uniqueCount="31">
  <si>
    <t>TP</t>
  </si>
  <si>
    <t>FP</t>
  </si>
  <si>
    <t>TN</t>
  </si>
  <si>
    <t>FN</t>
  </si>
  <si>
    <t>Conf Matrix</t>
  </si>
  <si>
    <t>Equation</t>
  </si>
  <si>
    <t>Precision</t>
  </si>
  <si>
    <t>Accuracy</t>
  </si>
  <si>
    <t>Recall</t>
  </si>
  <si>
    <t>F1 score</t>
  </si>
  <si>
    <t>y</t>
  </si>
  <si>
    <t>x</t>
  </si>
  <si>
    <t>Confussion Matrix Ablasi (TP, FP, TN, FN)</t>
  </si>
  <si>
    <t>naik</t>
  </si>
  <si>
    <t>TP (x, 5, 5, 5)</t>
  </si>
  <si>
    <t>Turun</t>
  </si>
  <si>
    <t>turun</t>
  </si>
  <si>
    <t>-</t>
  </si>
  <si>
    <t>Perbesar</t>
  </si>
  <si>
    <t>Perkecil</t>
  </si>
  <si>
    <t>FP (5, x, 5, 5)</t>
  </si>
  <si>
    <t>TN (5, 5, x, 5)</t>
  </si>
  <si>
    <t>FN (5, 5, 5, x)</t>
  </si>
  <si>
    <t>Note</t>
  </si>
  <si>
    <t>1. warna digunakan pada hasil ablasi dengan perubahan lebih dari 1 matrix</t>
  </si>
  <si>
    <t>2. Warna yang makin gelap berarti signifikansi lebih tinggi</t>
  </si>
  <si>
    <t>TP (range)</t>
  </si>
  <si>
    <t>FP (range)</t>
  </si>
  <si>
    <t>TN(range)</t>
  </si>
  <si>
    <t>FN (range)</t>
  </si>
  <si>
    <t>Galat to actual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</si>
</sst>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8" borderId="1" xfId="0" applyNumberFormat="1" applyFill="1" applyBorder="1" applyAlignment="1">
      <alignment vertical="center"/>
    </xf>
    <xf numFmtId="164" fontId="0" fillId="9" borderId="1" xfId="0" applyNumberFormat="1" applyFill="1" applyBorder="1" applyAlignment="1">
      <alignment vertical="center"/>
    </xf>
    <xf numFmtId="164" fontId="0" fillId="10" borderId="1" xfId="0" applyNumberFormat="1" applyFill="1" applyBorder="1" applyAlignment="1">
      <alignment vertical="center"/>
    </xf>
    <xf numFmtId="0" fontId="0" fillId="3" borderId="3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567780</xdr:colOff>
      <xdr:row>7</xdr:row>
      <xdr:rowOff>144360</xdr:rowOff>
    </xdr:from>
    <xdr:to>
      <xdr:col>6</xdr:col>
      <xdr:colOff>3900</xdr:colOff>
      <xdr:row>7</xdr:row>
      <xdr:rowOff>169560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BA4A485-B7BE-745F-A1EB-AAA18207A011}"/>
                </a:ext>
              </a:extLst>
            </xdr14:cNvPr>
            <xdr14:cNvContentPartPr/>
          </xdr14:nvContentPartPr>
          <xdr14:nvPr macro=""/>
          <xdr14:xfrm>
            <a:off x="4217760" y="1424520"/>
            <a:ext cx="45720" cy="252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BA4A485-B7BE-745F-A1EB-AAA18207A01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211640" y="1418400"/>
              <a:ext cx="57960" cy="3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541620</xdr:colOff>
      <xdr:row>9</xdr:row>
      <xdr:rowOff>151200</xdr:rowOff>
    </xdr:from>
    <xdr:to>
      <xdr:col>7</xdr:col>
      <xdr:colOff>544500</xdr:colOff>
      <xdr:row>9</xdr:row>
      <xdr:rowOff>174600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BC1192E-B4D8-0A93-B629-C4A9E44ECAD3}"/>
                </a:ext>
              </a:extLst>
            </xdr14:cNvPr>
            <xdr14:cNvContentPartPr/>
          </xdr14:nvContentPartPr>
          <xdr14:nvPr macro=""/>
          <xdr14:xfrm>
            <a:off x="5410800" y="1797120"/>
            <a:ext cx="2880" cy="234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FBC1192E-B4D8-0A93-B629-C4A9E44ECAD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404680" y="1791000"/>
              <a:ext cx="15120" cy="356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2-18T12:14:27.8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126 69 680 0 0,'-40'-33'12'0'0,"4"7"-8"0"0,30 23 8 0 0,0 0-12 0 0,-1 1-12 0 0,1 2 4 0 0,1-2-24 0 0,0 2 4 0 0,-1 2-12 0 0,1-2-32 0 0,1 2-16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2-18T12:14:31.1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65 1500 0 0,'3'-11'0'0'0,"-3"-2"-8"0"0,1 2-12 0 0,-1 3-52 0 0,1-1-52 0 0,1 2-4 0 0,-1 2-40 0 0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tabSelected="1" workbookViewId="0">
      <selection activeCell="B6" sqref="B6"/>
    </sheetView>
  </sheetViews>
  <sheetFormatPr defaultRowHeight="14.4" x14ac:dyDescent="0.3"/>
  <cols>
    <col min="1" max="1" width="8.6640625" customWidth="1"/>
    <col min="2" max="2" width="8.88671875" customWidth="1"/>
    <col min="3" max="3" width="9.21875" customWidth="1"/>
    <col min="8" max="8" width="8.88671875" customWidth="1"/>
  </cols>
  <sheetData>
    <row r="1" spans="1:16" x14ac:dyDescent="0.3">
      <c r="A1" s="19" t="s">
        <v>4</v>
      </c>
      <c r="B1" s="19"/>
      <c r="C1" s="19" t="s">
        <v>5</v>
      </c>
      <c r="D1" s="19"/>
      <c r="G1" s="16" t="s">
        <v>12</v>
      </c>
      <c r="H1" s="17"/>
      <c r="I1" s="17"/>
      <c r="J1" s="17"/>
      <c r="K1" s="17"/>
      <c r="L1" s="17"/>
      <c r="M1" s="17"/>
      <c r="N1" s="17"/>
      <c r="O1" s="17"/>
      <c r="P1" s="18"/>
    </row>
    <row r="2" spans="1:16" x14ac:dyDescent="0.3">
      <c r="A2" s="1" t="s">
        <v>0</v>
      </c>
      <c r="B2" s="1">
        <v>130</v>
      </c>
      <c r="C2" s="1" t="s">
        <v>7</v>
      </c>
      <c r="D2" s="2">
        <f>(B2+B4)/(B2+B3+B4+B5)</f>
        <v>0.87407407407407411</v>
      </c>
      <c r="E2" t="s">
        <v>10</v>
      </c>
      <c r="G2" s="16" t="s">
        <v>14</v>
      </c>
      <c r="H2" s="17"/>
      <c r="I2" s="17"/>
      <c r="J2" s="17"/>
      <c r="K2" s="18"/>
      <c r="L2" s="16" t="s">
        <v>21</v>
      </c>
      <c r="M2" s="17"/>
      <c r="N2" s="17"/>
      <c r="O2" s="17"/>
      <c r="P2" s="18"/>
    </row>
    <row r="3" spans="1:16" x14ac:dyDescent="0.3">
      <c r="A3" s="1" t="s">
        <v>1</v>
      </c>
      <c r="B3" s="1">
        <v>19</v>
      </c>
      <c r="C3" s="1" t="s">
        <v>6</v>
      </c>
      <c r="D3" s="2">
        <f>B2/(B2+B3)</f>
        <v>0.87248322147651003</v>
      </c>
      <c r="E3" t="s">
        <v>11</v>
      </c>
      <c r="G3" s="3"/>
      <c r="H3" s="4" t="s">
        <v>7</v>
      </c>
      <c r="I3" s="4" t="s">
        <v>6</v>
      </c>
      <c r="J3" s="4" t="s">
        <v>8</v>
      </c>
      <c r="K3" s="4" t="s">
        <v>9</v>
      </c>
      <c r="L3" s="3"/>
      <c r="M3" s="4" t="s">
        <v>7</v>
      </c>
      <c r="N3" s="4" t="s">
        <v>6</v>
      </c>
      <c r="O3" s="4" t="s">
        <v>8</v>
      </c>
      <c r="P3" s="4" t="s">
        <v>9</v>
      </c>
    </row>
    <row r="4" spans="1:16" x14ac:dyDescent="0.3">
      <c r="A4" s="1" t="s">
        <v>2</v>
      </c>
      <c r="B4" s="1">
        <v>106</v>
      </c>
      <c r="C4" s="1" t="s">
        <v>8</v>
      </c>
      <c r="D4" s="2">
        <f>B2/(B2+B5)</f>
        <v>0.89655172413793105</v>
      </c>
      <c r="E4" t="s">
        <v>11</v>
      </c>
      <c r="G4" s="4" t="s">
        <v>18</v>
      </c>
      <c r="H4" s="5" t="s">
        <v>13</v>
      </c>
      <c r="I4" s="8" t="s">
        <v>13</v>
      </c>
      <c r="J4" s="8" t="s">
        <v>13</v>
      </c>
      <c r="K4" s="8" t="s">
        <v>13</v>
      </c>
      <c r="L4" s="4" t="s">
        <v>18</v>
      </c>
      <c r="M4" s="3" t="s">
        <v>13</v>
      </c>
      <c r="N4" s="3" t="s">
        <v>17</v>
      </c>
      <c r="O4" s="3" t="s">
        <v>17</v>
      </c>
      <c r="P4" s="3" t="s">
        <v>17</v>
      </c>
    </row>
    <row r="5" spans="1:16" x14ac:dyDescent="0.3">
      <c r="A5" s="1" t="s">
        <v>3</v>
      </c>
      <c r="B5" s="1">
        <v>15</v>
      </c>
      <c r="C5" s="1" t="s">
        <v>9</v>
      </c>
      <c r="D5" s="2">
        <f>2*((D3*D4)/(D3+D4))</f>
        <v>0.88435374149659873</v>
      </c>
      <c r="E5" t="s">
        <v>11</v>
      </c>
      <c r="G5" s="4" t="s">
        <v>19</v>
      </c>
      <c r="H5" s="6" t="s">
        <v>16</v>
      </c>
      <c r="I5" s="7" t="s">
        <v>16</v>
      </c>
      <c r="J5" s="7" t="s">
        <v>16</v>
      </c>
      <c r="K5" s="7" t="s">
        <v>16</v>
      </c>
      <c r="L5" s="4" t="s">
        <v>19</v>
      </c>
      <c r="M5" s="3" t="s">
        <v>16</v>
      </c>
      <c r="N5" s="3" t="s">
        <v>17</v>
      </c>
      <c r="O5" s="3" t="s">
        <v>17</v>
      </c>
      <c r="P5" s="3" t="s">
        <v>17</v>
      </c>
    </row>
    <row r="6" spans="1:16" x14ac:dyDescent="0.3">
      <c r="A6" s="3"/>
      <c r="B6" s="1">
        <f>SUM(B2:B5)</f>
        <v>270</v>
      </c>
      <c r="C6" s="3"/>
      <c r="D6" s="3"/>
      <c r="G6" s="16" t="s">
        <v>20</v>
      </c>
      <c r="H6" s="17"/>
      <c r="I6" s="17"/>
      <c r="J6" s="17"/>
      <c r="K6" s="18"/>
      <c r="L6" s="16" t="s">
        <v>22</v>
      </c>
      <c r="M6" s="17"/>
      <c r="N6" s="17"/>
      <c r="O6" s="17"/>
      <c r="P6" s="18"/>
    </row>
    <row r="7" spans="1:16" x14ac:dyDescent="0.3">
      <c r="G7" s="3"/>
      <c r="H7" s="4" t="s">
        <v>7</v>
      </c>
      <c r="I7" s="4" t="s">
        <v>6</v>
      </c>
      <c r="J7" s="4" t="s">
        <v>8</v>
      </c>
      <c r="K7" s="4" t="s">
        <v>9</v>
      </c>
      <c r="L7" s="3"/>
      <c r="M7" s="4" t="s">
        <v>7</v>
      </c>
      <c r="N7" s="4" t="s">
        <v>6</v>
      </c>
      <c r="O7" s="4" t="s">
        <v>8</v>
      </c>
      <c r="P7" s="4" t="s">
        <v>9</v>
      </c>
    </row>
    <row r="8" spans="1:16" x14ac:dyDescent="0.3">
      <c r="A8" s="21"/>
      <c r="B8" s="22"/>
      <c r="C8" s="22"/>
      <c r="D8" s="23"/>
      <c r="G8" s="4" t="s">
        <v>18</v>
      </c>
      <c r="H8" s="7" t="s">
        <v>16</v>
      </c>
      <c r="I8" s="6" t="s">
        <v>16</v>
      </c>
      <c r="J8" s="3" t="s">
        <v>17</v>
      </c>
      <c r="K8" s="7" t="s">
        <v>16</v>
      </c>
      <c r="L8" s="4" t="s">
        <v>16</v>
      </c>
      <c r="M8" s="6" t="s">
        <v>16</v>
      </c>
      <c r="N8" s="3" t="s">
        <v>17</v>
      </c>
      <c r="O8" s="7" t="s">
        <v>16</v>
      </c>
      <c r="P8" s="6" t="s">
        <v>16</v>
      </c>
    </row>
    <row r="9" spans="1:16" x14ac:dyDescent="0.3">
      <c r="A9" s="24" t="s">
        <v>0</v>
      </c>
      <c r="B9" s="10"/>
      <c r="C9" s="10" t="s">
        <v>7</v>
      </c>
      <c r="D9" s="12">
        <v>0.54545454545454541</v>
      </c>
      <c r="G9" s="4" t="s">
        <v>19</v>
      </c>
      <c r="H9" s="8" t="s">
        <v>13</v>
      </c>
      <c r="I9" s="5" t="s">
        <v>13</v>
      </c>
      <c r="J9" s="3" t="s">
        <v>17</v>
      </c>
      <c r="K9" s="8" t="s">
        <v>13</v>
      </c>
      <c r="L9" s="4" t="s">
        <v>15</v>
      </c>
      <c r="M9" s="5" t="s">
        <v>13</v>
      </c>
      <c r="N9" s="3" t="s">
        <v>17</v>
      </c>
      <c r="O9" s="8" t="s">
        <v>13</v>
      </c>
      <c r="P9" s="5" t="s">
        <v>13</v>
      </c>
    </row>
    <row r="10" spans="1:16" x14ac:dyDescent="0.3">
      <c r="A10" s="25"/>
      <c r="B10" s="10"/>
      <c r="C10" s="10" t="s">
        <v>6</v>
      </c>
      <c r="D10" s="11">
        <v>0.58333333333333337</v>
      </c>
    </row>
    <row r="11" spans="1:16" x14ac:dyDescent="0.3">
      <c r="A11" s="25"/>
      <c r="B11" s="10"/>
      <c r="C11" s="10" t="s">
        <v>8</v>
      </c>
      <c r="D11" s="11">
        <v>0.58333333333333337</v>
      </c>
      <c r="G11" s="19" t="s">
        <v>23</v>
      </c>
      <c r="H11" s="19"/>
      <c r="I11" s="19"/>
      <c r="J11" s="19"/>
      <c r="K11" s="19"/>
      <c r="L11" s="19"/>
      <c r="M11" s="19"/>
      <c r="N11" s="19"/>
      <c r="O11" s="19"/>
      <c r="P11" s="19"/>
    </row>
    <row r="12" spans="1:16" x14ac:dyDescent="0.3">
      <c r="A12" s="26"/>
      <c r="B12" s="10"/>
      <c r="C12" s="10" t="s">
        <v>9</v>
      </c>
      <c r="D12" s="11">
        <v>0.58333333333333337</v>
      </c>
      <c r="G12" s="20" t="s">
        <v>24</v>
      </c>
      <c r="H12" s="20"/>
      <c r="I12" s="20"/>
      <c r="J12" s="20"/>
      <c r="K12" s="20"/>
      <c r="L12" s="20"/>
      <c r="M12" s="20"/>
      <c r="N12" s="20"/>
      <c r="O12" s="20"/>
      <c r="P12" s="20"/>
    </row>
    <row r="13" spans="1:16" x14ac:dyDescent="0.3">
      <c r="A13" s="9"/>
      <c r="B13" s="9"/>
      <c r="C13" s="9"/>
      <c r="D13" s="9"/>
      <c r="G13" s="20" t="s">
        <v>25</v>
      </c>
      <c r="H13" s="20"/>
      <c r="I13" s="20"/>
      <c r="J13" s="20"/>
      <c r="K13" s="20"/>
      <c r="L13" s="20"/>
      <c r="M13" s="20"/>
      <c r="N13" s="20"/>
      <c r="O13" s="20"/>
      <c r="P13" s="20"/>
    </row>
    <row r="14" spans="1:16" x14ac:dyDescent="0.3">
      <c r="A14" s="24" t="s">
        <v>1</v>
      </c>
      <c r="B14" s="10"/>
      <c r="C14" s="10" t="s">
        <v>7</v>
      </c>
      <c r="D14" s="13">
        <v>0.45454545454545453</v>
      </c>
    </row>
    <row r="15" spans="1:16" x14ac:dyDescent="0.3">
      <c r="A15" s="25"/>
      <c r="B15" s="10"/>
      <c r="C15" s="10" t="s">
        <v>6</v>
      </c>
      <c r="D15" s="14">
        <v>0.41666666666666669</v>
      </c>
    </row>
    <row r="16" spans="1:16" x14ac:dyDescent="0.3">
      <c r="A16" s="25"/>
      <c r="B16" s="10"/>
      <c r="C16" s="10" t="s">
        <v>8</v>
      </c>
      <c r="D16" s="11">
        <v>0.5</v>
      </c>
      <c r="H16" s="16" t="s">
        <v>26</v>
      </c>
      <c r="I16" s="18"/>
      <c r="J16" s="16" t="s">
        <v>27</v>
      </c>
      <c r="K16" s="18"/>
      <c r="L16" s="16" t="s">
        <v>28</v>
      </c>
      <c r="M16" s="18"/>
      <c r="N16" s="16" t="s">
        <v>29</v>
      </c>
      <c r="O16" s="18"/>
    </row>
    <row r="17" spans="1:15" x14ac:dyDescent="0.3">
      <c r="A17" s="26"/>
      <c r="B17" s="10"/>
      <c r="C17" s="10" t="s">
        <v>9</v>
      </c>
      <c r="D17" s="13">
        <v>0.45454545454545453</v>
      </c>
      <c r="H17" s="1">
        <v>0</v>
      </c>
      <c r="I17" s="1">
        <f>SUM(B2:B5)/(1/D3+1/D4-1)</f>
        <v>214.02439024390245</v>
      </c>
      <c r="J17" s="1">
        <v>0</v>
      </c>
      <c r="K17" s="1">
        <f>I17*(1/D3-1)</f>
        <v>31.280487804878081</v>
      </c>
      <c r="L17" s="1">
        <v>0</v>
      </c>
      <c r="M17" s="1">
        <f>SUM(B2:B5)</f>
        <v>270</v>
      </c>
      <c r="N17" s="1">
        <v>0</v>
      </c>
      <c r="O17" s="1">
        <f>I17*(1/D4-1)</f>
        <v>24.695121951219519</v>
      </c>
    </row>
    <row r="18" spans="1:15" x14ac:dyDescent="0.3">
      <c r="A18" s="9"/>
      <c r="B18" s="9"/>
      <c r="C18" s="9"/>
      <c r="D18" s="9"/>
      <c r="H18" s="15" t="s">
        <v>30</v>
      </c>
      <c r="I18" s="15"/>
      <c r="J18" s="15"/>
      <c r="K18" s="15"/>
      <c r="L18" s="15"/>
      <c r="M18" s="15"/>
      <c r="N18" s="15"/>
      <c r="O18" s="15"/>
    </row>
    <row r="19" spans="1:15" x14ac:dyDescent="0.3">
      <c r="A19" s="24" t="s">
        <v>2</v>
      </c>
      <c r="B19" s="10"/>
      <c r="C19" s="10" t="s">
        <v>7</v>
      </c>
      <c r="D19" s="12">
        <v>0.54545454545454541</v>
      </c>
      <c r="H19" s="3"/>
      <c r="I19" s="3">
        <f>(I17-B2)/B2</f>
        <v>0.64634146341463417</v>
      </c>
      <c r="J19" s="3"/>
      <c r="K19" s="3">
        <f>(K17-B3)/B3</f>
        <v>0.64634146341463583</v>
      </c>
      <c r="L19" s="3"/>
      <c r="M19" s="3"/>
      <c r="N19" s="3"/>
      <c r="O19" s="3">
        <f>(O17-B5)/B5</f>
        <v>0.64634146341463461</v>
      </c>
    </row>
    <row r="20" spans="1:15" x14ac:dyDescent="0.3">
      <c r="A20" s="25"/>
      <c r="B20" s="10"/>
      <c r="C20" s="10" t="s">
        <v>6</v>
      </c>
      <c r="D20" s="11">
        <v>0.5</v>
      </c>
    </row>
    <row r="21" spans="1:15" x14ac:dyDescent="0.3">
      <c r="A21" s="25"/>
      <c r="B21" s="10"/>
      <c r="C21" s="10" t="s">
        <v>8</v>
      </c>
      <c r="D21" s="11">
        <v>0.5</v>
      </c>
    </row>
    <row r="22" spans="1:15" x14ac:dyDescent="0.3">
      <c r="A22" s="26"/>
      <c r="B22" s="10"/>
      <c r="C22" s="10" t="s">
        <v>9</v>
      </c>
      <c r="D22" s="11">
        <v>0.5</v>
      </c>
    </row>
    <row r="23" spans="1:15" x14ac:dyDescent="0.3">
      <c r="A23" s="9"/>
      <c r="B23" s="9"/>
      <c r="C23" s="9"/>
      <c r="D23" s="9"/>
    </row>
    <row r="24" spans="1:15" x14ac:dyDescent="0.3">
      <c r="A24" s="24" t="s">
        <v>3</v>
      </c>
      <c r="B24" s="10"/>
      <c r="C24" s="10" t="s">
        <v>7</v>
      </c>
      <c r="D24" s="13">
        <v>0.45454545454545453</v>
      </c>
    </row>
    <row r="25" spans="1:15" x14ac:dyDescent="0.3">
      <c r="A25" s="25"/>
      <c r="B25" s="10"/>
      <c r="C25" s="10" t="s">
        <v>6</v>
      </c>
      <c r="D25" s="11">
        <v>0.5</v>
      </c>
    </row>
    <row r="26" spans="1:15" x14ac:dyDescent="0.3">
      <c r="A26" s="25"/>
      <c r="B26" s="10"/>
      <c r="C26" s="10" t="s">
        <v>8</v>
      </c>
      <c r="D26" s="14">
        <v>0.41666666666666669</v>
      </c>
    </row>
    <row r="27" spans="1:15" x14ac:dyDescent="0.3">
      <c r="A27" s="26"/>
      <c r="B27" s="10"/>
      <c r="C27" s="10" t="s">
        <v>9</v>
      </c>
      <c r="D27" s="13">
        <v>0.45454545454545453</v>
      </c>
    </row>
  </sheetData>
  <mergeCells count="20">
    <mergeCell ref="A9:A12"/>
    <mergeCell ref="A14:A17"/>
    <mergeCell ref="A19:A22"/>
    <mergeCell ref="A24:A27"/>
    <mergeCell ref="H18:O18"/>
    <mergeCell ref="G1:P1"/>
    <mergeCell ref="A1:B1"/>
    <mergeCell ref="C1:D1"/>
    <mergeCell ref="H16:I16"/>
    <mergeCell ref="J16:K16"/>
    <mergeCell ref="L16:M16"/>
    <mergeCell ref="N16:O16"/>
    <mergeCell ref="G11:P11"/>
    <mergeCell ref="G12:P12"/>
    <mergeCell ref="G13:P13"/>
    <mergeCell ref="G2:K2"/>
    <mergeCell ref="G6:K6"/>
    <mergeCell ref="L2:P2"/>
    <mergeCell ref="L6:P6"/>
    <mergeCell ref="A8:D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Arinanda</dc:creator>
  <cp:lastModifiedBy>Nikola Arinanda</cp:lastModifiedBy>
  <dcterms:created xsi:type="dcterms:W3CDTF">2015-06-05T18:17:20Z</dcterms:created>
  <dcterms:modified xsi:type="dcterms:W3CDTF">2025-12-19T16:25:02Z</dcterms:modified>
</cp:coreProperties>
</file>